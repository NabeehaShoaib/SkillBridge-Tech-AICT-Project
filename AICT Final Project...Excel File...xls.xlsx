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ed brothers\Documents\"/>
    </mc:Choice>
  </mc:AlternateContent>
  <xr:revisionPtr revIDLastSave="0" documentId="8_{59BA897B-831B-4791-93BE-2C0EA261855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ow_Data" sheetId="1" r:id="rId1"/>
    <sheet name="Calculations" sheetId="3" r:id="rId2"/>
    <sheet name="Dashboard" sheetId="4" r:id="rId3"/>
  </sheets>
  <definedNames>
    <definedName name="_xlnm._FilterDatabase" localSheetId="0" hidden="1">Row_Data!$E$5:$J$45</definedName>
    <definedName name="_xlchart.v1.0" hidden="1">Calculations!$A$5:$C$13</definedName>
    <definedName name="_xlchart.v1.1" hidden="1">Calculations!$D$5:$D$13</definedName>
    <definedName name="_xlchart.v1.2" hidden="1">Calculations!$D$5:$D$12</definedName>
    <definedName name="_xlchart.v1.3" hidden="1">Calculations!$D$5:$D$12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B10" i="3"/>
  <c r="C9" i="3"/>
  <c r="D9" i="3" s="1"/>
  <c r="B9" i="3"/>
  <c r="C8" i="3"/>
  <c r="B8" i="3"/>
  <c r="C7" i="3"/>
  <c r="B7" i="3"/>
  <c r="C6" i="3"/>
  <c r="B6" i="3"/>
  <c r="C5" i="3"/>
  <c r="B5" i="3"/>
  <c r="D7" i="3" l="1"/>
  <c r="D6" i="3"/>
  <c r="D8" i="3"/>
  <c r="D10" i="3"/>
  <c r="B12" i="3"/>
  <c r="C12" i="3"/>
  <c r="D5" i="3"/>
  <c r="D12" i="3" s="1"/>
  <c r="L23" i="3"/>
</calcChain>
</file>

<file path=xl/sharedStrings.xml><?xml version="1.0" encoding="utf-8"?>
<sst xmlns="http://schemas.openxmlformats.org/spreadsheetml/2006/main" count="181" uniqueCount="142">
  <si>
    <t>STUDENT DATA TABLE</t>
  </si>
  <si>
    <t>Student Id</t>
  </si>
  <si>
    <t>Student Name</t>
  </si>
  <si>
    <t>Sr No.</t>
  </si>
  <si>
    <t>Email</t>
  </si>
  <si>
    <t>Course</t>
  </si>
  <si>
    <t>Fee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</si>
  <si>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</si>
  <si>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</si>
  <si>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</si>
  <si>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</si>
  <si>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</si>
  <si>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</si>
  <si>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</si>
  <si>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</si>
  <si>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</si>
  <si>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</si>
  <si>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</si>
  <si>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</si>
  <si>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</si>
  <si>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</si>
  <si>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</si>
  <si>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</si>
  <si>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</si>
  <si>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</si>
  <si>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</si>
  <si>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</si>
  <si>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</si>
  <si>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</si>
  <si>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</si>
  <si>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</si>
  <si>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</si>
  <si>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Hamza Ali</t>
  </si>
  <si>
    <t>hamza.ali@sbt.com</t>
  </si>
  <si>
    <t>CSS</t>
  </si>
  <si>
    <t>Sara Ahmed</t>
  </si>
  <si>
    <t>Usman Raza</t>
  </si>
  <si>
    <t>Fatima Noor</t>
  </si>
  <si>
    <t>Hassan Iqbal</t>
  </si>
  <si>
    <t>Zainab Sheikh</t>
  </si>
  <si>
    <t>Bilal Hussain</t>
  </si>
  <si>
    <t>Hira Farooq</t>
  </si>
  <si>
    <t>Ahmed Rauf</t>
  </si>
  <si>
    <t>Noor Fatima</t>
  </si>
  <si>
    <t>Salman Khan</t>
  </si>
  <si>
    <t>Danish Ahmad</t>
  </si>
  <si>
    <t>Maryam Shah</t>
  </si>
  <si>
    <t>Fahad Saeed</t>
  </si>
  <si>
    <t>Laiba Noor</t>
  </si>
  <si>
    <t>Shahzaib Tariq</t>
  </si>
  <si>
    <t>Amna Yousaf</t>
  </si>
  <si>
    <t>Namra Anam</t>
  </si>
  <si>
    <t>Soha Kazmi</t>
  </si>
  <si>
    <t>Adeena Tariq</t>
  </si>
  <si>
    <t>Shanza  Amir</t>
  </si>
  <si>
    <t>Sajal Ali</t>
  </si>
  <si>
    <t>Feroz Khan</t>
  </si>
  <si>
    <t>Aisha Abbas</t>
  </si>
  <si>
    <t>sara.ahmad@sbt.com</t>
  </si>
  <si>
    <t>danish.ahmad@sbt.com</t>
  </si>
  <si>
    <t>Awais Aleem</t>
  </si>
  <si>
    <t>usman.raza@sbt.com</t>
  </si>
  <si>
    <t>fatima.noor@sbt.com</t>
  </si>
  <si>
    <t>hassan.iqbal@sbt.com</t>
  </si>
  <si>
    <t>zainab.sheikh@sbt.com</t>
  </si>
  <si>
    <t>bilal.hussain@sbt.com</t>
  </si>
  <si>
    <t>hira.farooq@sbt.com</t>
  </si>
  <si>
    <t>ahmed.rauf@sbt.com</t>
  </si>
  <si>
    <t>noor.fatima@sbt.com</t>
  </si>
  <si>
    <t>salman.khan@sbt.com</t>
  </si>
  <si>
    <t>maryam.shah@sbt.com</t>
  </si>
  <si>
    <t>fahad.saeed@sbt.com</t>
  </si>
  <si>
    <t>laiba.noor@sbt.com</t>
  </si>
  <si>
    <t>shahzaib.tariq@sbt.com</t>
  </si>
  <si>
    <t>amna.yousaf@sbt.com</t>
  </si>
  <si>
    <t>namra.anam@sbt.com</t>
  </si>
  <si>
    <t>awais.aleem@sbt.com</t>
  </si>
  <si>
    <t>soha.kazmi@sbt.com</t>
  </si>
  <si>
    <t>adeena.tariq@sbt.com</t>
  </si>
  <si>
    <t>shanza.amir@sbt.com</t>
  </si>
  <si>
    <t>sajal.ali@sbt.com</t>
  </si>
  <si>
    <t>feroz.khan@sbt.com</t>
  </si>
  <si>
    <t>aisha.abbas@sbt.com</t>
  </si>
  <si>
    <t>Html</t>
  </si>
  <si>
    <t>Microsoft Office</t>
  </si>
  <si>
    <t>Git &amp; Github</t>
  </si>
  <si>
    <t>Linkedln</t>
  </si>
  <si>
    <t>Digital Marketing</t>
  </si>
  <si>
    <t>Total Students</t>
  </si>
  <si>
    <t>Total Revenue</t>
  </si>
  <si>
    <t>SkillBRIDGE TECH - DATA ANALYSIS</t>
  </si>
  <si>
    <t>Course name</t>
  </si>
  <si>
    <t>TOTAL</t>
  </si>
  <si>
    <t>ST26</t>
  </si>
  <si>
    <t>Ibrahim Shah</t>
  </si>
  <si>
    <t>ibrahim.shah@sbt.com</t>
  </si>
  <si>
    <t>HTML</t>
  </si>
  <si>
    <t>ST27</t>
  </si>
  <si>
    <t>Mehak Noor</t>
  </si>
  <si>
    <t>mehak.noor@sbt.com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</si>
  <si>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</si>
  <si>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</si>
  <si>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</si>
  <si>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</si>
  <si>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</si>
  <si>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</si>
  <si>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</si>
  <si>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</si>
  <si>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</si>
  <si>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</si>
  <si>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</si>
  <si>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</si>
  <si>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</si>
  <si>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Danish Saleem</t>
  </si>
  <si>
    <t>danish.saleem@sbt.com</t>
  </si>
  <si>
    <t>Saniya Iqbal</t>
  </si>
  <si>
    <t>saniya.iqbal@sbt.com</t>
  </si>
  <si>
    <t>Salman Akhtar</t>
  </si>
  <si>
    <t>salman.akhtar@sbt.com</t>
  </si>
  <si>
    <t>Rabia Khan</t>
  </si>
  <si>
    <t>rabia.khan@sbt.com</t>
  </si>
  <si>
    <t>Ali Raza</t>
  </si>
  <si>
    <t>ali.raza@sbt.com</t>
  </si>
  <si>
    <t>Mahnoor Aslam</t>
  </si>
  <si>
    <t>mahnoor.aslam@sbt.com</t>
  </si>
  <si>
    <t>Huzaifa Qureshi</t>
  </si>
  <si>
    <t>huzaifa.q@sbt.com</t>
  </si>
  <si>
    <t>Hoorain Ali</t>
  </si>
  <si>
    <t>hoorain.ali@sbt.com</t>
  </si>
  <si>
    <t>Abdullah Khan</t>
  </si>
  <si>
    <t>abdullah.khan@sbt.com</t>
  </si>
  <si>
    <t>Anum Riaz</t>
  </si>
  <si>
    <t>anum.riaz@sbt.com</t>
  </si>
  <si>
    <t>Saad Ahmed</t>
  </si>
  <si>
    <t>saad.ahmed@sbt.com</t>
  </si>
  <si>
    <t>Iqra Naveed</t>
  </si>
  <si>
    <t>iqra.naveed@sbt.com</t>
  </si>
  <si>
    <t>Talha Mehmood</t>
  </si>
  <si>
    <t>talha.mehmood@sbt.com</t>
  </si>
  <si>
    <t xml:space="preserve"> </t>
  </si>
  <si>
    <t>Average Fee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</si>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</sst>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/>
    <xf numFmtId="0" fontId="6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6" fillId="2" borderId="0" xfId="0" applyFont="1" applyFill="1" applyAlignment="1"/>
    <xf numFmtId="0" fontId="0" fillId="2" borderId="0" xfId="0" applyFont="1" applyFill="1" applyAlignment="1"/>
    <xf numFmtId="0" fontId="0" fillId="0" borderId="0" xfId="0" applyBorder="1"/>
    <xf numFmtId="0" fontId="0" fillId="0" borderId="1" xfId="0" applyBorder="1"/>
    <xf numFmtId="0" fontId="10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/>
    <xf numFmtId="0" fontId="8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0C4FC"/>
      <color rgb="FFF3E30D"/>
      <color rgb="FFFFCC00"/>
      <color rgb="FFCC66FF"/>
      <color rgb="FFF8808B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Enrollment Analysis</a:t>
            </a:r>
          </a:p>
        </c:rich>
      </c:tx>
      <c:layout>
        <c:manualLayout>
          <c:xMode val="edge"/>
          <c:yMode val="edge"/>
          <c:x val="0.32186252700067164"/>
          <c:y val="8.6848163879369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663554940325931E-2"/>
          <c:y val="0.17282564695907718"/>
          <c:w val="0.88767300798661197"/>
          <c:h val="0.59376711499591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Calculations!$B$4</c:f>
              <c:strCache>
                <c:ptCount val="1"/>
                <c:pt idx="0">
                  <c:v>Total Students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Calculations!$A$5:$A$10</c:f>
              <c:strCache>
                <c:ptCount val="6"/>
                <c:pt idx="0">
                  <c:v>Html</c:v>
                </c:pt>
                <c:pt idx="1">
                  <c:v>CSS</c:v>
                </c:pt>
                <c:pt idx="2">
                  <c:v>Microsoft Office</c:v>
                </c:pt>
                <c:pt idx="3">
                  <c:v>Git &amp; Github</c:v>
                </c:pt>
                <c:pt idx="4">
                  <c:v>Linkedln</c:v>
                </c:pt>
                <c:pt idx="5">
                  <c:v>Digital Marketing</c:v>
                </c:pt>
              </c:strCache>
            </c:strRef>
          </c:cat>
          <c:val>
            <c:numRef>
              <c:f>Calculations!$B$5:$B$10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E-4AD0-B2C5-EDAD29B141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6942223"/>
        <c:axId val="16469284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Calculations!$C$4</c15:sqref>
                        </c15:formulaRef>
                      </c:ext>
                    </c:extLst>
                    <c:strCache>
                      <c:ptCount val="1"/>
                      <c:pt idx="0">
                        <c:v>Total Revenue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7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7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7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Calculations!$A$5:$A$10</c15:sqref>
                        </c15:formulaRef>
                      </c:ext>
                    </c:extLst>
                    <c:strCache>
                      <c:ptCount val="6"/>
                      <c:pt idx="0">
                        <c:v>Html</c:v>
                      </c:pt>
                      <c:pt idx="1">
                        <c:v>CSS</c:v>
                      </c:pt>
                      <c:pt idx="2">
                        <c:v>Microsoft Office</c:v>
                      </c:pt>
                      <c:pt idx="3">
                        <c:v>Git &amp; Github</c:v>
                      </c:pt>
                      <c:pt idx="4">
                        <c:v>Linkedln</c:v>
                      </c:pt>
                      <c:pt idx="5">
                        <c:v>Digital Marketing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Calculations!$C$5:$C$10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27500</c:v>
                      </c:pt>
                      <c:pt idx="1">
                        <c:v>28500</c:v>
                      </c:pt>
                      <c:pt idx="2">
                        <c:v>16000</c:v>
                      </c:pt>
                      <c:pt idx="3">
                        <c:v>4000</c:v>
                      </c:pt>
                      <c:pt idx="4">
                        <c:v>4000</c:v>
                      </c:pt>
                      <c:pt idx="5">
                        <c:v>19000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9EE-4AD0-B2C5-EDAD29B141E7}"/>
                  </c:ext>
                </c:extLst>
              </c15:ser>
            </c15:filteredBarSeries>
          </c:ext>
        </c:extLst>
      </c:barChart>
      <c:catAx>
        <c:axId val="16469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928495"/>
        <c:crosses val="autoZero"/>
        <c:auto val="1"/>
        <c:lblAlgn val="ctr"/>
        <c:lblOffset val="100"/>
        <c:noMultiLvlLbl val="0"/>
      </c:catAx>
      <c:valAx>
        <c:axId val="164692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94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Fee Chart</a:t>
            </a:r>
          </a:p>
        </c:rich>
      </c:tx>
      <c:layout>
        <c:manualLayout>
          <c:xMode val="edge"/>
          <c:yMode val="edge"/>
          <c:x val="0.38944858575596641"/>
          <c:y val="7.9268311712193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48791427377889E-2"/>
          <c:y val="0.18963908104052951"/>
          <c:w val="0.89043804485532174"/>
          <c:h val="0.70081975360763515"/>
        </c:manualLayout>
      </c:layout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Calculations!$D$5:$D$12</c:f>
              <c:numCache>
                <c:formatCode>General</c:formatCode>
                <c:ptCount val="8"/>
                <c:pt idx="0">
                  <c:v>3437.5</c:v>
                </c:pt>
                <c:pt idx="1">
                  <c:v>3562.5</c:v>
                </c:pt>
                <c:pt idx="2">
                  <c:v>2285.7142857142858</c:v>
                </c:pt>
                <c:pt idx="3">
                  <c:v>571.42857142857144</c:v>
                </c:pt>
                <c:pt idx="4">
                  <c:v>1000</c:v>
                </c:pt>
                <c:pt idx="5">
                  <c:v>3166.6666666666665</c:v>
                </c:pt>
                <c:pt idx="7">
                  <c:v>2337.301587301587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C-4391-9114-DF2E576233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460430527"/>
        <c:axId val="1460431359"/>
      </c:barChart>
      <c:catAx>
        <c:axId val="1460430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31359"/>
        <c:crosses val="autoZero"/>
        <c:auto val="1"/>
        <c:lblAlgn val="ctr"/>
        <c:lblOffset val="100"/>
        <c:noMultiLvlLbl val="0"/>
      </c:catAx>
      <c:valAx>
        <c:axId val="14604313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3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 Revenue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Calculations!$A$5:$A$10</c:f>
              <c:strCache>
                <c:ptCount val="6"/>
                <c:pt idx="0">
                  <c:v>Html</c:v>
                </c:pt>
                <c:pt idx="1">
                  <c:v>CSS</c:v>
                </c:pt>
                <c:pt idx="2">
                  <c:v>Microsoft Office</c:v>
                </c:pt>
                <c:pt idx="3">
                  <c:v>Git &amp; Github</c:v>
                </c:pt>
                <c:pt idx="4">
                  <c:v>Linkedln</c:v>
                </c:pt>
                <c:pt idx="5">
                  <c:v>Digital Marketing</c:v>
                </c:pt>
              </c:strCache>
            </c:strRef>
          </c:cat>
          <c:val>
            <c:numRef>
              <c:f>Calculations!$B$5:$B$10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3-4108-BDDE-85E758D0866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Bar Chart 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Bar Chart </a:t>
          </a:r>
        </a:p>
      </cx:txPr>
    </cx:title>
    <cx:plotArea>
      <cx:plotAreaRegion>
        <cx:series layoutId="treemap" uniqueId="{457A4AD5-26D0-49BC-89ED-00D5369B4152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576965</xdr:colOff>
      <xdr:row>8</xdr:row>
      <xdr:rowOff>153832</xdr:rowOff>
    </xdr:from>
    <xdr:to>
      <xdr:col>16</xdr:col>
      <xdr:colOff>84667</xdr:colOff>
      <xdr:row>33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536222</xdr:colOff>
      <xdr:row>37</xdr:row>
      <xdr:rowOff>30630</xdr:rowOff>
    </xdr:from>
    <xdr:to>
      <xdr:col>17</xdr:col>
      <xdr:colOff>381837</xdr:colOff>
      <xdr:row>59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338668</xdr:colOff>
      <xdr:row>10</xdr:row>
      <xdr:rowOff>63500</xdr:rowOff>
    </xdr:from>
    <xdr:to>
      <xdr:col>31</xdr:col>
      <xdr:colOff>105834</xdr:colOff>
      <xdr:row>32</xdr:row>
      <xdr:rowOff>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260120</xdr:colOff>
      <xdr:row>42</xdr:row>
      <xdr:rowOff>53554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708313" y="80178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19</xdr:col>
      <xdr:colOff>204511</xdr:colOff>
      <xdr:row>34</xdr:row>
      <xdr:rowOff>127001</xdr:rowOff>
    </xdr:from>
    <xdr:to>
      <xdr:col>31</xdr:col>
      <xdr:colOff>169334</xdr:colOff>
      <xdr:row>59</xdr:row>
      <xdr:rowOff>63501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7344" y="6858001"/>
              <a:ext cx="7330823" cy="469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12</xdr:col>
      <xdr:colOff>250423</xdr:colOff>
      <xdr:row>41</xdr:row>
      <xdr:rowOff>125211</xdr:rowOff>
    </xdr:from>
    <xdr:ext cx="635000" cy="23253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7548451" y="8076126"/>
          <a:ext cx="635000" cy="232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Total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0.34274</cdr:x>
      <cdr:y>0.90271</cdr:y>
    </cdr:from>
    <cdr:to>
      <cdr:x>0.50202</cdr:x>
      <cdr:y>0.94305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0125" y="3501084"/>
          <a:ext cx="929493" cy="1564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0.2702</cdr:x>
      <cdr:y>0.89806</cdr:y>
    </cdr:from>
    <cdr:to>
      <cdr:x>0.62818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76792" y="3648331"/>
          <a:ext cx="2089058" cy="414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0.25443</cdr:x>
      <cdr:y>0.86634</cdr:y>
    </cdr:from>
    <cdr:to>
      <cdr:x>0.61613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84763" y="3519489"/>
          <a:ext cx="2110777" cy="5429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0.31436</cdr:x>
      <cdr:y>0.87314</cdr:y>
    </cdr:from>
    <cdr:to>
      <cdr:x>0.5909</cdr:x>
      <cdr:y>0.94337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34473" y="3547099"/>
          <a:ext cx="1613821" cy="2852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0.29386</cdr:x>
      <cdr:y>0.79319</cdr:y>
    </cdr:from>
    <cdr:to>
      <cdr:x>0.56252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714836" y="3506974"/>
          <a:ext cx="1567806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0.39639</cdr:x>
      <cdr:y>0.90622</cdr:y>
    </cdr:from>
    <cdr:to>
      <cdr:x>0.65286</cdr:x>
      <cdr:y>0.97078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252302" y="4185314"/>
          <a:ext cx="1457245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COURSES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0.69205</cdr:x>
      <cdr:y>0.34259</cdr:y>
    </cdr:from>
    <cdr:to>
      <cdr:x>0.95342</cdr:x>
      <cdr:y>0.45988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4227286" y="1006929"/>
          <a:ext cx="1596571" cy="3447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0.75343</cdr:x>
      <cdr:y>0.37819</cdr:y>
    </cdr:from>
    <cdr:to>
      <cdr:x>0.93382</cdr:x>
      <cdr:y>0.44136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5562297" y="1491494"/>
          <a:ext cx="1331787" cy="249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Digital</a:t>
          </a:r>
          <a:r>
            <a:rPr lang="en-US" sz="1100" baseline="0"/>
            <a:t> Marketing</a:t>
          </a:r>
          <a:endParaRPr lang="en-US" sz="1100"/>
        </a:p>
      </cdr:txBody>
    </cdr:sp>
  </cdr:relSizeAnchor>
  <cdr:relSizeAnchor xmlns:cdr="http://schemas.openxmlformats.org/drawingml/2006/chartDrawing">
    <cdr:from>
      <cdr:x>0.31484</cdr:x>
      <cdr:y>0.47531</cdr:y>
    </cdr:from>
    <cdr:to>
      <cdr:x>0.46453</cdr:x>
      <cdr:y>0.78642</cdr:y>
    </cdr:to>
    <cdr:sp macro="" textlink="">
      <cdr:nvSpPr>
        <cdr:cNvPr id="16" name="TextBox 15"/>
        <cdr:cNvSpPr txBox="1"/>
      </cdr:nvSpPr>
      <cdr:spPr>
        <a:xfrm xmlns:a="http://schemas.openxmlformats.org/drawingml/2006/main">
          <a:off x="1923143" y="13970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0.26445</cdr:x>
      <cdr:y>0.46192</cdr:y>
    </cdr:from>
    <cdr:to>
      <cdr:x>0.4381</cdr:x>
      <cdr:y>0.54012</cdr:y>
    </cdr:to>
    <cdr:sp macro="" textlink="">
      <cdr:nvSpPr>
        <cdr:cNvPr id="17" name="TextBox 16"/>
        <cdr:cNvSpPr txBox="1"/>
      </cdr:nvSpPr>
      <cdr:spPr>
        <a:xfrm xmlns:a="http://schemas.openxmlformats.org/drawingml/2006/main">
          <a:off x="1874274" y="1925484"/>
          <a:ext cx="1230716" cy="326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/>
            <a:t>linkedln</a:t>
          </a:r>
        </a:p>
      </cdr:txBody>
    </cdr:sp>
  </cdr:relSizeAnchor>
  <cdr:relSizeAnchor xmlns:cdr="http://schemas.openxmlformats.org/drawingml/2006/chartDrawing">
    <cdr:from>
      <cdr:x>0.56092</cdr:x>
      <cdr:y>0.62737</cdr:y>
    </cdr:from>
    <cdr:to>
      <cdr:x>0.78619</cdr:x>
      <cdr:y>0.69444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4141107" y="2474233"/>
          <a:ext cx="1663096" cy="264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Microsoft Office</a:t>
          </a:r>
        </a:p>
      </cdr:txBody>
    </cdr:sp>
  </cdr:relSizeAnchor>
  <cdr:relSizeAnchor xmlns:cdr="http://schemas.openxmlformats.org/drawingml/2006/chartDrawing">
    <cdr:from>
      <cdr:x>0.8503</cdr:x>
      <cdr:y>0.68889</cdr:y>
    </cdr:from>
    <cdr:to>
      <cdr:x>1</cdr:x>
      <cdr:y>1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5252357" y="213178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0.8257</cdr:x>
      <cdr:y>0.69753</cdr:y>
    </cdr:from>
    <cdr:to>
      <cdr:x>0.95691</cdr:x>
      <cdr:y>1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5040985" y="2050144"/>
          <a:ext cx="801013" cy="888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/>
            <a:t>CSS</a:t>
          </a:r>
        </a:p>
      </cdr:txBody>
    </cdr:sp>
  </cdr:relSizeAnchor>
  <cdr:relSizeAnchor xmlns:cdr="http://schemas.openxmlformats.org/drawingml/2006/chartDrawing">
    <cdr:from>
      <cdr:x>0.7162</cdr:x>
      <cdr:y>0.78395</cdr:y>
    </cdr:from>
    <cdr:to>
      <cdr:x>0.99673</cdr:x>
      <cdr:y>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4372428" y="2304144"/>
          <a:ext cx="1712686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0.73314</cdr:x>
      <cdr:y>0.83125</cdr:y>
    </cdr:from>
    <cdr:to>
      <cdr:x>0.94252</cdr:x>
      <cdr:y>1</cdr:y>
    </cdr:to>
    <cdr:sp macro="" textlink="">
      <cdr:nvSpPr>
        <cdr:cNvPr id="22" name="TextBox 21"/>
        <cdr:cNvSpPr txBox="1"/>
      </cdr:nvSpPr>
      <cdr:spPr>
        <a:xfrm xmlns:a="http://schemas.openxmlformats.org/drawingml/2006/main">
          <a:off x="4535714" y="2413001"/>
          <a:ext cx="1295400" cy="489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0.7566</cdr:x>
      <cdr:y>0.685</cdr:y>
    </cdr:from>
    <cdr:to>
      <cdr:x>0.9044</cdr:x>
      <cdr:y>1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4680856" y="233135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0.80872</cdr:x>
      <cdr:y>0.81522</cdr:y>
    </cdr:from>
    <cdr:to>
      <cdr:x>0.92933</cdr:x>
      <cdr:y>1</cdr:y>
    </cdr:to>
    <cdr:sp macro="" textlink="">
      <cdr:nvSpPr>
        <cdr:cNvPr id="24" name="TextBox 23"/>
        <cdr:cNvSpPr txBox="1"/>
      </cdr:nvSpPr>
      <cdr:spPr>
        <a:xfrm xmlns:a="http://schemas.openxmlformats.org/drawingml/2006/main">
          <a:off x="5970512" y="3215066"/>
          <a:ext cx="890401" cy="7287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/>
            <a:t>Html</a:t>
          </a:r>
        </a:p>
      </cdr:txBody>
    </cdr:sp>
  </cdr:relSizeAnchor>
  <cdr:relSizeAnchor xmlns:cdr="http://schemas.openxmlformats.org/drawingml/2006/chartDrawing">
    <cdr:from>
      <cdr:x>0.20376</cdr:x>
      <cdr:y>0.55283</cdr:y>
    </cdr:from>
    <cdr:to>
      <cdr:x>0.3685</cdr:x>
      <cdr:y>0.76973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1444112" y="2304436"/>
          <a:ext cx="1167581" cy="904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Git &amp; Github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O45"/>
  <sheetViews>
    <sheetView topLeftCell="C1" zoomScaleNormal="100" workbookViewId="0">
      <pane xSplit="2" ySplit="5" topLeftCell="E6" activePane="bottomRight" state="frozen"/>
      <selection activeCell="C1" sqref="C1"/>
      <selection pane="topRight" activeCell="E1" sqref="E1"/>
      <selection pane="bottomLeft" activeCell="C6" sqref="C6"/>
      <selection pane="bottomRight" activeCell="E2" sqref="E2:J4"/>
    </sheetView>
  </sheetViews>
  <sheetFormatPr defaultRowHeight="15" x14ac:dyDescent="0.25"/>
  <cols>
    <col min="5" max="5" width="9.7109375" customWidth="1"/>
    <col min="6" max="6" width="13.140625" customWidth="1"/>
    <col min="7" max="7" width="18.140625" customWidth="1"/>
    <col min="8" max="8" width="24.7109375" customWidth="1"/>
    <col min="9" max="9" width="21.28515625" customWidth="1"/>
    <col min="10" max="10" width="14.28515625" customWidth="1"/>
  </cols>
  <sheetData>
    <row r="1" spans="4:15" x14ac:dyDescent="0.25">
      <c r="G1" s="8"/>
      <c r="I1" s="9"/>
      <c r="K1" s="8"/>
    </row>
    <row r="2" spans="4:15" ht="14.45" customHeight="1" x14ac:dyDescent="0.35">
      <c r="D2" s="36"/>
      <c r="E2" s="37" t="s">
        <v>0</v>
      </c>
      <c r="F2" s="37"/>
      <c r="G2" s="37"/>
      <c r="H2" s="37"/>
      <c r="I2" s="37"/>
      <c r="J2" s="37"/>
      <c r="K2" s="36"/>
      <c r="L2" s="1"/>
      <c r="M2" s="1"/>
      <c r="N2" s="1"/>
      <c r="O2" s="1"/>
    </row>
    <row r="3" spans="4:15" ht="15.75" customHeight="1" x14ac:dyDescent="0.35">
      <c r="D3" s="36"/>
      <c r="E3" s="38"/>
      <c r="F3" s="38"/>
      <c r="G3" s="38"/>
      <c r="H3" s="38"/>
      <c r="I3" s="38"/>
      <c r="J3" s="38"/>
      <c r="K3" s="36"/>
      <c r="L3" s="1"/>
      <c r="M3" s="1"/>
      <c r="N3" s="1"/>
      <c r="O3" s="1"/>
    </row>
    <row r="4" spans="4:15" x14ac:dyDescent="0.25">
      <c r="E4" s="39"/>
      <c r="F4" s="40"/>
      <c r="G4" s="40"/>
      <c r="H4" s="40"/>
      <c r="I4" s="40"/>
      <c r="J4" s="41"/>
    </row>
    <row r="5" spans="4:15" ht="39.950000000000003" customHeight="1" x14ac:dyDescent="0.25">
      <c r="E5" s="27" t="s">
        <v>3</v>
      </c>
      <c r="F5" s="27" t="s">
        <v>1</v>
      </c>
      <c r="G5" s="27" t="s">
        <v>2</v>
      </c>
      <c r="H5" s="27" t="s">
        <v>4</v>
      </c>
      <c r="I5" s="27" t="s">
        <v>5</v>
      </c>
      <c r="J5" s="27" t="s">
        <v>6</v>
      </c>
    </row>
    <row r="6" spans="4:15" ht="30" customHeight="1" x14ac:dyDescent="0.25">
      <c r="E6" s="16">
        <v>1</v>
      </c>
      <c r="F6" s="16" t="s">
        <v>7</v>
      </c>
      <c r="G6" s="16" t="s">
        <v>32</v>
      </c>
      <c r="H6" s="16" t="s">
        <v>33</v>
      </c>
      <c r="I6" s="28" t="s">
        <v>96</v>
      </c>
      <c r="J6" s="16">
        <v>3500</v>
      </c>
    </row>
    <row r="7" spans="4:15" ht="30" customHeight="1" x14ac:dyDescent="0.25">
      <c r="E7" s="16">
        <v>2</v>
      </c>
      <c r="F7" s="16" t="s">
        <v>8</v>
      </c>
      <c r="G7" s="16" t="s">
        <v>35</v>
      </c>
      <c r="H7" s="16" t="s">
        <v>58</v>
      </c>
      <c r="I7" s="16" t="s">
        <v>34</v>
      </c>
      <c r="J7" s="16">
        <v>4000</v>
      </c>
    </row>
    <row r="8" spans="4:15" ht="30" customHeight="1" x14ac:dyDescent="0.25">
      <c r="E8" s="16">
        <v>3</v>
      </c>
      <c r="F8" s="16" t="s">
        <v>9</v>
      </c>
      <c r="G8" s="16" t="s">
        <v>36</v>
      </c>
      <c r="H8" s="16" t="s">
        <v>61</v>
      </c>
      <c r="I8" s="29" t="s">
        <v>84</v>
      </c>
      <c r="J8" s="16">
        <v>2500</v>
      </c>
    </row>
    <row r="9" spans="4:15" ht="30" customHeight="1" x14ac:dyDescent="0.25">
      <c r="E9" s="16">
        <v>4</v>
      </c>
      <c r="F9" s="16" t="s">
        <v>10</v>
      </c>
      <c r="G9" s="16" t="s">
        <v>37</v>
      </c>
      <c r="H9" s="16" t="s">
        <v>62</v>
      </c>
      <c r="I9" s="16" t="s">
        <v>85</v>
      </c>
      <c r="J9" s="16">
        <v>2000</v>
      </c>
    </row>
    <row r="10" spans="4:15" ht="30" customHeight="1" x14ac:dyDescent="0.25">
      <c r="E10" s="16">
        <v>5</v>
      </c>
      <c r="F10" s="16" t="s">
        <v>11</v>
      </c>
      <c r="G10" s="16" t="s">
        <v>38</v>
      </c>
      <c r="H10" s="16" t="s">
        <v>63</v>
      </c>
      <c r="I10" s="16" t="s">
        <v>86</v>
      </c>
      <c r="J10" s="16">
        <v>1000</v>
      </c>
    </row>
    <row r="11" spans="4:15" ht="30" customHeight="1" x14ac:dyDescent="0.25">
      <c r="E11" s="16">
        <v>6</v>
      </c>
      <c r="F11" s="16" t="s">
        <v>12</v>
      </c>
      <c r="G11" s="16" t="s">
        <v>39</v>
      </c>
      <c r="H11" s="16" t="s">
        <v>64</v>
      </c>
      <c r="I11" s="29" t="s">
        <v>87</v>
      </c>
      <c r="J11" s="16">
        <v>3000</v>
      </c>
    </row>
    <row r="12" spans="4:15" ht="30.6" customHeight="1" x14ac:dyDescent="0.25">
      <c r="E12" s="16">
        <v>7</v>
      </c>
      <c r="F12" s="16" t="s">
        <v>13</v>
      </c>
      <c r="G12" s="16" t="s">
        <v>40</v>
      </c>
      <c r="H12" s="16" t="s">
        <v>65</v>
      </c>
      <c r="I12" s="16" t="s">
        <v>96</v>
      </c>
      <c r="J12" s="16">
        <v>3500</v>
      </c>
    </row>
    <row r="13" spans="4:15" ht="30" customHeight="1" x14ac:dyDescent="0.25">
      <c r="E13" s="16">
        <v>8</v>
      </c>
      <c r="F13" s="16" t="s">
        <v>14</v>
      </c>
      <c r="G13" s="16" t="s">
        <v>41</v>
      </c>
      <c r="H13" s="16" t="s">
        <v>66</v>
      </c>
      <c r="I13" s="16" t="s">
        <v>34</v>
      </c>
      <c r="J13" s="16">
        <v>4000</v>
      </c>
    </row>
    <row r="14" spans="4:15" ht="30.6" customHeight="1" x14ac:dyDescent="0.25">
      <c r="E14" s="16">
        <v>9</v>
      </c>
      <c r="F14" s="16" t="s">
        <v>15</v>
      </c>
      <c r="G14" s="16" t="s">
        <v>42</v>
      </c>
      <c r="H14" s="16" t="s">
        <v>67</v>
      </c>
      <c r="I14" s="29" t="s">
        <v>84</v>
      </c>
      <c r="J14" s="16">
        <v>2500</v>
      </c>
    </row>
    <row r="15" spans="4:15" ht="30.6" customHeight="1" x14ac:dyDescent="0.25">
      <c r="E15" s="16">
        <v>10</v>
      </c>
      <c r="F15" s="16" t="s">
        <v>16</v>
      </c>
      <c r="G15" s="16" t="s">
        <v>43</v>
      </c>
      <c r="H15" s="16" t="s">
        <v>68</v>
      </c>
      <c r="I15" s="16" t="s">
        <v>85</v>
      </c>
      <c r="J15" s="16">
        <v>2000</v>
      </c>
    </row>
    <row r="16" spans="4:15" ht="30.6" customHeight="1" x14ac:dyDescent="0.25">
      <c r="E16" s="16">
        <v>11</v>
      </c>
      <c r="F16" s="16" t="s">
        <v>17</v>
      </c>
      <c r="G16" s="16" t="s">
        <v>44</v>
      </c>
      <c r="H16" s="16" t="s">
        <v>69</v>
      </c>
      <c r="I16" s="16" t="s">
        <v>86</v>
      </c>
      <c r="J16" s="16">
        <v>1000</v>
      </c>
    </row>
    <row r="17" spans="5:10" ht="30.6" customHeight="1" x14ac:dyDescent="0.25">
      <c r="E17" s="16">
        <v>12</v>
      </c>
      <c r="F17" s="16" t="s">
        <v>18</v>
      </c>
      <c r="G17" s="16" t="s">
        <v>45</v>
      </c>
      <c r="H17" s="16" t="s">
        <v>59</v>
      </c>
      <c r="I17" s="29" t="s">
        <v>87</v>
      </c>
      <c r="J17" s="16">
        <v>3000</v>
      </c>
    </row>
    <row r="18" spans="5:10" ht="30" customHeight="1" x14ac:dyDescent="0.25">
      <c r="E18" s="16">
        <v>13</v>
      </c>
      <c r="F18" s="16" t="s">
        <v>19</v>
      </c>
      <c r="G18" s="16" t="s">
        <v>46</v>
      </c>
      <c r="H18" s="16" t="s">
        <v>70</v>
      </c>
      <c r="I18" s="16" t="s">
        <v>96</v>
      </c>
      <c r="J18" s="16">
        <v>3500</v>
      </c>
    </row>
    <row r="19" spans="5:10" ht="30" customHeight="1" x14ac:dyDescent="0.25">
      <c r="E19" s="16">
        <v>14</v>
      </c>
      <c r="F19" s="16" t="s">
        <v>20</v>
      </c>
      <c r="G19" s="16" t="s">
        <v>47</v>
      </c>
      <c r="H19" s="16" t="s">
        <v>71</v>
      </c>
      <c r="I19" s="16" t="s">
        <v>34</v>
      </c>
      <c r="J19" s="16">
        <v>4000</v>
      </c>
    </row>
    <row r="20" spans="5:10" ht="30" customHeight="1" x14ac:dyDescent="0.25">
      <c r="E20" s="16">
        <v>15</v>
      </c>
      <c r="F20" s="16" t="s">
        <v>21</v>
      </c>
      <c r="G20" s="16" t="s">
        <v>48</v>
      </c>
      <c r="H20" s="16" t="s">
        <v>72</v>
      </c>
      <c r="I20" s="16" t="s">
        <v>84</v>
      </c>
      <c r="J20" s="16">
        <v>2500</v>
      </c>
    </row>
    <row r="21" spans="5:10" ht="30.6" customHeight="1" x14ac:dyDescent="0.25">
      <c r="E21" s="16">
        <v>16</v>
      </c>
      <c r="F21" s="16" t="s">
        <v>22</v>
      </c>
      <c r="G21" s="16" t="s">
        <v>49</v>
      </c>
      <c r="H21" s="16" t="s">
        <v>73</v>
      </c>
      <c r="I21" s="16" t="s">
        <v>85</v>
      </c>
      <c r="J21" s="16">
        <v>2000</v>
      </c>
    </row>
    <row r="22" spans="5:10" ht="30" customHeight="1" x14ac:dyDescent="0.25">
      <c r="E22" s="16">
        <v>17</v>
      </c>
      <c r="F22" s="16" t="s">
        <v>23</v>
      </c>
      <c r="G22" s="16" t="s">
        <v>50</v>
      </c>
      <c r="H22" s="16" t="s">
        <v>74</v>
      </c>
      <c r="I22" s="16" t="s">
        <v>86</v>
      </c>
      <c r="J22" s="16">
        <v>1000</v>
      </c>
    </row>
    <row r="23" spans="5:10" ht="30.6" customHeight="1" x14ac:dyDescent="0.25">
      <c r="E23" s="16">
        <v>18</v>
      </c>
      <c r="F23" s="16" t="s">
        <v>24</v>
      </c>
      <c r="G23" s="16" t="s">
        <v>51</v>
      </c>
      <c r="H23" s="16" t="s">
        <v>75</v>
      </c>
      <c r="I23" s="30" t="s">
        <v>87</v>
      </c>
      <c r="J23" s="16">
        <v>3000</v>
      </c>
    </row>
    <row r="24" spans="5:10" ht="30.6" customHeight="1" x14ac:dyDescent="0.25">
      <c r="E24" s="16">
        <v>19</v>
      </c>
      <c r="F24" s="16" t="s">
        <v>25</v>
      </c>
      <c r="G24" s="16" t="s">
        <v>60</v>
      </c>
      <c r="H24" s="16" t="s">
        <v>76</v>
      </c>
      <c r="I24" s="16" t="s">
        <v>96</v>
      </c>
      <c r="J24" s="16">
        <v>3500</v>
      </c>
    </row>
    <row r="25" spans="5:10" ht="29.1" customHeight="1" x14ac:dyDescent="0.25">
      <c r="E25" s="16">
        <v>20</v>
      </c>
      <c r="F25" s="16" t="s">
        <v>26</v>
      </c>
      <c r="G25" s="16" t="s">
        <v>52</v>
      </c>
      <c r="H25" s="16" t="s">
        <v>77</v>
      </c>
      <c r="I25" s="16" t="s">
        <v>34</v>
      </c>
      <c r="J25" s="16">
        <v>4000</v>
      </c>
    </row>
    <row r="26" spans="5:10" ht="30" customHeight="1" x14ac:dyDescent="0.25">
      <c r="E26" s="16">
        <v>21</v>
      </c>
      <c r="F26" s="16" t="s">
        <v>27</v>
      </c>
      <c r="G26" s="16" t="s">
        <v>53</v>
      </c>
      <c r="H26" s="16" t="s">
        <v>78</v>
      </c>
      <c r="I26" s="16" t="s">
        <v>84</v>
      </c>
      <c r="J26" s="16">
        <v>2500</v>
      </c>
    </row>
    <row r="27" spans="5:10" ht="30" customHeight="1" x14ac:dyDescent="0.25">
      <c r="E27" s="16">
        <v>22</v>
      </c>
      <c r="F27" s="16" t="s">
        <v>28</v>
      </c>
      <c r="G27" s="16" t="s">
        <v>54</v>
      </c>
      <c r="H27" s="16" t="s">
        <v>79</v>
      </c>
      <c r="I27" s="16" t="s">
        <v>85</v>
      </c>
      <c r="J27" s="16">
        <v>2000</v>
      </c>
    </row>
    <row r="28" spans="5:10" ht="30" customHeight="1" x14ac:dyDescent="0.25">
      <c r="E28" s="16">
        <v>23</v>
      </c>
      <c r="F28" s="16" t="s">
        <v>29</v>
      </c>
      <c r="G28" s="16" t="s">
        <v>55</v>
      </c>
      <c r="H28" s="16" t="s">
        <v>80</v>
      </c>
      <c r="I28" s="16" t="s">
        <v>86</v>
      </c>
      <c r="J28" s="16">
        <v>1000</v>
      </c>
    </row>
    <row r="29" spans="5:10" ht="30" customHeight="1" x14ac:dyDescent="0.25">
      <c r="E29" s="16">
        <v>24</v>
      </c>
      <c r="F29" s="16" t="s">
        <v>30</v>
      </c>
      <c r="G29" s="16" t="s">
        <v>56</v>
      </c>
      <c r="H29" s="16" t="s">
        <v>81</v>
      </c>
      <c r="I29" s="16" t="s">
        <v>87</v>
      </c>
      <c r="J29" s="16">
        <v>3000</v>
      </c>
    </row>
    <row r="30" spans="5:10" ht="30" customHeight="1" x14ac:dyDescent="0.25">
      <c r="E30" s="16">
        <v>25</v>
      </c>
      <c r="F30" s="16" t="s">
        <v>31</v>
      </c>
      <c r="G30" s="16" t="s">
        <v>57</v>
      </c>
      <c r="H30" s="16" t="s">
        <v>82</v>
      </c>
      <c r="I30" s="16" t="s">
        <v>34</v>
      </c>
      <c r="J30" s="16">
        <v>3500</v>
      </c>
    </row>
    <row r="31" spans="5:10" ht="30" customHeight="1" x14ac:dyDescent="0.25">
      <c r="E31" s="31">
        <v>26</v>
      </c>
      <c r="F31" s="31" t="s">
        <v>93</v>
      </c>
      <c r="G31" s="31" t="s">
        <v>94</v>
      </c>
      <c r="H31" s="31" t="s">
        <v>95</v>
      </c>
      <c r="I31" s="32" t="s">
        <v>96</v>
      </c>
      <c r="J31" s="31">
        <v>3500</v>
      </c>
    </row>
    <row r="32" spans="5:10" ht="30" customHeight="1" x14ac:dyDescent="0.25">
      <c r="E32" s="33">
        <v>27</v>
      </c>
      <c r="F32" s="31" t="s">
        <v>97</v>
      </c>
      <c r="G32" s="31" t="s">
        <v>98</v>
      </c>
      <c r="H32" s="31" t="s">
        <v>99</v>
      </c>
      <c r="I32" s="34" t="s">
        <v>85</v>
      </c>
      <c r="J32" s="31">
        <v>4000</v>
      </c>
    </row>
    <row r="33" spans="5:10" ht="30" customHeight="1" x14ac:dyDescent="0.25">
      <c r="E33" s="33">
        <v>28</v>
      </c>
      <c r="F33" s="33" t="s">
        <v>100</v>
      </c>
      <c r="G33" s="33" t="s">
        <v>137</v>
      </c>
      <c r="H33" s="31" t="s">
        <v>138</v>
      </c>
      <c r="I33" s="32" t="s">
        <v>87</v>
      </c>
      <c r="J33" s="33">
        <v>4000</v>
      </c>
    </row>
    <row r="34" spans="5:10" ht="30" customHeight="1" x14ac:dyDescent="0.25">
      <c r="E34" s="33">
        <v>29</v>
      </c>
      <c r="F34" s="33" t="s">
        <v>101</v>
      </c>
      <c r="G34" s="31" t="s">
        <v>135</v>
      </c>
      <c r="H34" s="31" t="s">
        <v>136</v>
      </c>
      <c r="I34" s="32" t="s">
        <v>96</v>
      </c>
      <c r="J34" s="31">
        <v>3000</v>
      </c>
    </row>
    <row r="35" spans="5:10" ht="30" customHeight="1" x14ac:dyDescent="0.25">
      <c r="E35" s="33">
        <v>30</v>
      </c>
      <c r="F35" s="33" t="s">
        <v>102</v>
      </c>
      <c r="G35" s="31" t="s">
        <v>133</v>
      </c>
      <c r="H35" s="31" t="s">
        <v>134</v>
      </c>
      <c r="I35" s="32" t="s">
        <v>85</v>
      </c>
      <c r="J35" s="31">
        <v>2000</v>
      </c>
    </row>
    <row r="36" spans="5:10" ht="30" customHeight="1" x14ac:dyDescent="0.25">
      <c r="E36" s="33">
        <v>31</v>
      </c>
      <c r="F36" s="33" t="s">
        <v>103</v>
      </c>
      <c r="G36" s="31" t="s">
        <v>131</v>
      </c>
      <c r="H36" s="31" t="s">
        <v>132</v>
      </c>
      <c r="I36" s="32" t="s">
        <v>34</v>
      </c>
      <c r="J36" s="31">
        <v>1000</v>
      </c>
    </row>
    <row r="37" spans="5:10" ht="28.5" customHeight="1" x14ac:dyDescent="0.25">
      <c r="E37" s="33">
        <v>32</v>
      </c>
      <c r="F37" s="33" t="s">
        <v>104</v>
      </c>
      <c r="G37" s="31" t="s">
        <v>129</v>
      </c>
      <c r="H37" s="31" t="s">
        <v>130</v>
      </c>
      <c r="I37" s="32" t="s">
        <v>96</v>
      </c>
      <c r="J37" s="31">
        <v>3500</v>
      </c>
    </row>
    <row r="38" spans="5:10" ht="30" customHeight="1" x14ac:dyDescent="0.25">
      <c r="E38" s="33">
        <v>33</v>
      </c>
      <c r="F38" s="33" t="s">
        <v>105</v>
      </c>
      <c r="G38" s="31" t="s">
        <v>127</v>
      </c>
      <c r="H38" s="31" t="s">
        <v>128</v>
      </c>
      <c r="I38" s="32" t="s">
        <v>84</v>
      </c>
      <c r="J38" s="31">
        <v>2500</v>
      </c>
    </row>
    <row r="39" spans="5:10" ht="29.1" customHeight="1" x14ac:dyDescent="0.25">
      <c r="E39" s="33">
        <v>34</v>
      </c>
      <c r="F39" s="33" t="s">
        <v>106</v>
      </c>
      <c r="G39" s="31" t="s">
        <v>125</v>
      </c>
      <c r="H39" s="31" t="s">
        <v>126</v>
      </c>
      <c r="I39" s="32" t="s">
        <v>34</v>
      </c>
      <c r="J39" s="31">
        <v>4000</v>
      </c>
    </row>
    <row r="40" spans="5:10" ht="30" customHeight="1" x14ac:dyDescent="0.25">
      <c r="E40" s="33">
        <v>35</v>
      </c>
      <c r="F40" s="33" t="s">
        <v>107</v>
      </c>
      <c r="G40" s="31" t="s">
        <v>123</v>
      </c>
      <c r="H40" s="31" t="s">
        <v>124</v>
      </c>
      <c r="I40" s="35" t="s">
        <v>87</v>
      </c>
      <c r="J40" s="31">
        <v>3000</v>
      </c>
    </row>
    <row r="41" spans="5:10" ht="30" customHeight="1" x14ac:dyDescent="0.25">
      <c r="E41" s="33">
        <v>36</v>
      </c>
      <c r="F41" s="33" t="s">
        <v>108</v>
      </c>
      <c r="G41" s="31" t="s">
        <v>121</v>
      </c>
      <c r="H41" s="31" t="s">
        <v>122</v>
      </c>
      <c r="I41" s="32" t="s">
        <v>84</v>
      </c>
      <c r="J41" s="31">
        <v>1000</v>
      </c>
    </row>
    <row r="42" spans="5:10" ht="30" customHeight="1" x14ac:dyDescent="0.25">
      <c r="E42" s="33">
        <v>37</v>
      </c>
      <c r="F42" s="33" t="s">
        <v>109</v>
      </c>
      <c r="G42" s="31" t="s">
        <v>119</v>
      </c>
      <c r="H42" s="31" t="s">
        <v>120</v>
      </c>
      <c r="I42" s="32" t="s">
        <v>85</v>
      </c>
      <c r="J42" s="31">
        <v>2000</v>
      </c>
    </row>
    <row r="43" spans="5:10" ht="30" customHeight="1" x14ac:dyDescent="0.25">
      <c r="E43" s="33">
        <v>38</v>
      </c>
      <c r="F43" s="33" t="s">
        <v>110</v>
      </c>
      <c r="G43" s="31" t="s">
        <v>117</v>
      </c>
      <c r="H43" s="31" t="s">
        <v>118</v>
      </c>
      <c r="I43" s="32" t="s">
        <v>96</v>
      </c>
      <c r="J43" s="31">
        <v>3500</v>
      </c>
    </row>
    <row r="44" spans="5:10" ht="30" customHeight="1" x14ac:dyDescent="0.25">
      <c r="E44" s="33">
        <v>39</v>
      </c>
      <c r="F44" s="33" t="s">
        <v>111</v>
      </c>
      <c r="G44" s="31" t="s">
        <v>115</v>
      </c>
      <c r="H44" s="31" t="s">
        <v>116</v>
      </c>
      <c r="I44" s="32" t="s">
        <v>84</v>
      </c>
      <c r="J44" s="31">
        <v>2500</v>
      </c>
    </row>
    <row r="45" spans="5:10" ht="30" customHeight="1" x14ac:dyDescent="0.25">
      <c r="E45" s="33">
        <v>40</v>
      </c>
      <c r="F45" s="33" t="s">
        <v>112</v>
      </c>
      <c r="G45" s="31" t="s">
        <v>113</v>
      </c>
      <c r="H45" s="31" t="s">
        <v>114</v>
      </c>
      <c r="I45" s="32" t="s">
        <v>34</v>
      </c>
      <c r="J45" s="31">
        <v>4000</v>
      </c>
    </row>
  </sheetData>
  <autoFilter ref="E5:J45" xr:uid="{00000000-0009-0000-0000-000000000000}"/>
  <mergeCells count="1">
    <mergeCell ref="E2:J4"/>
  </mergeCells>
  <conditionalFormatting sqref="I9:I45">
    <cfRule type="cellIs" dxfId="4" priority="10" operator="equal">
      <formula>"HTML"</formula>
    </cfRule>
  </conditionalFormatting>
  <conditionalFormatting sqref="J6:J30">
    <cfRule type="cellIs" dxfId="3" priority="23" operator="greaterThan">
      <formula>3000</formula>
    </cfRule>
  </conditionalFormatting>
  <conditionalFormatting sqref="J6:J4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{23F1E25B-A227-4D9B-8F52-77DF39EC0755}</x14:id>
        </ext>
      </extLst>
    </cfRule>
    <cfRule type="colorScale" priority="12">
      <colorScale>
        <cfvo type="num" val="1000"/>
        <cfvo type="num" val="2500"/>
        <cfvo type="num" val="4000"/>
        <color rgb="FFFFCCCC"/>
        <color rgb="FFFFEB84"/>
        <color rgb="FF63BE7B"/>
      </colorScale>
    </cfRule>
    <cfRule type="cellIs" dxfId="2" priority="13" operator="greaterThan">
      <formula>3000</formula>
    </cfRule>
    <cfRule type="colorScale" priority="14">
      <colorScale>
        <cfvo type="min"/>
        <cfvo type="max"/>
        <color theme="8" tint="0.39997558519241921"/>
        <color rgb="FF00B0F0"/>
      </colorScale>
    </cfRule>
    <cfRule type="colorScale" priority="15">
      <colorScale>
        <cfvo type="min"/>
        <cfvo type="percentile" val="50"/>
        <cfvo type="max"/>
        <color theme="4" tint="0.59999389629810485"/>
        <color theme="4"/>
        <color theme="8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max"/>
        <color theme="4"/>
        <color rgb="FFFFEF9C"/>
      </colorScale>
    </cfRule>
    <cfRule type="cellIs" dxfId="1" priority="21" operator="greaterThan">
      <formula>2500</formula>
    </cfRule>
    <cfRule type="cellIs" dxfId="0" priority="22" operator="greaterThan">
      <formula>2500</formula>
    </cfRule>
  </conditionalFormatting>
  <dataValidations count="1">
    <dataValidation type="list" allowBlank="1" showInputMessage="1" showErrorMessage="1" sqref="I5:I45" xr:uid="{00000000-0002-0000-0000-000000000000}">
      <formula1>"Html,CSS,Microsoft Office, Git &amp; Github, Linkedln,Digital Marketing"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F1E25B-A227-4D9B-8F52-77DF39EC0755}">
            <x14:dataBar minLength="0" maxLength="100" border="1" direction="leftToRight">
              <x14:cfvo type="autoMin"/>
              <x14:cfvo type="autoMax"/>
              <x14:borderColor rgb="FF002060"/>
              <x14:negativeFillColor rgb="FFFF0000"/>
              <x14:axisColor rgb="FF000000"/>
            </x14:dataBar>
          </x14:cfRule>
          <xm:sqref>J6:J45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3"/>
  <sheetViews>
    <sheetView zoomScale="85" workbookViewId="0">
      <selection activeCell="G8" sqref="G8"/>
    </sheetView>
  </sheetViews>
  <sheetFormatPr defaultRowHeight="15" x14ac:dyDescent="0.25"/>
  <cols>
    <col min="1" max="1" width="23.140625" customWidth="1"/>
    <col min="2" max="2" width="24.5703125" customWidth="1"/>
    <col min="3" max="3" width="27.140625" customWidth="1"/>
    <col min="4" max="4" width="25.42578125" customWidth="1"/>
  </cols>
  <sheetData>
    <row r="1" spans="1:81" ht="14.45" customHeight="1" x14ac:dyDescent="0.3">
      <c r="A1" s="24" t="s">
        <v>90</v>
      </c>
      <c r="B1" s="24"/>
      <c r="C1" s="24"/>
      <c r="D1" s="24"/>
      <c r="E1" s="13"/>
      <c r="F1" s="13"/>
    </row>
    <row r="2" spans="1:81" ht="18.75" x14ac:dyDescent="0.3">
      <c r="A2" s="24"/>
      <c r="B2" s="24"/>
      <c r="C2" s="24"/>
      <c r="D2" s="24"/>
      <c r="E2" s="13"/>
      <c r="F2" s="13"/>
      <c r="BP2" s="6"/>
      <c r="CC2" s="7"/>
    </row>
    <row r="3" spans="1:81" ht="15" customHeight="1" x14ac:dyDescent="0.25">
      <c r="A3" s="18"/>
      <c r="B3" s="19"/>
      <c r="C3" s="19"/>
      <c r="D3" s="20"/>
      <c r="G3" s="12"/>
    </row>
    <row r="4" spans="1:81" ht="32.450000000000003" customHeight="1" x14ac:dyDescent="0.25">
      <c r="A4" s="14" t="s">
        <v>91</v>
      </c>
      <c r="B4" s="14" t="s">
        <v>88</v>
      </c>
      <c r="C4" s="14" t="s">
        <v>89</v>
      </c>
      <c r="D4" s="14" t="s">
        <v>140</v>
      </c>
    </row>
    <row r="5" spans="1:81" ht="29.45" customHeight="1" x14ac:dyDescent="0.25">
      <c r="A5" s="15" t="s">
        <v>83</v>
      </c>
      <c r="B5" s="16">
        <f>COUNTIF(Row_Data!I:I,"Html")</f>
        <v>8</v>
      </c>
      <c r="C5" s="16">
        <f>SUMIF(Row_Data!I:I,"Html",Row_Data!J:J)</f>
        <v>27500</v>
      </c>
      <c r="D5" s="16">
        <f>C5/B5</f>
        <v>3437.5</v>
      </c>
    </row>
    <row r="6" spans="1:81" ht="29.45" customHeight="1" x14ac:dyDescent="0.25">
      <c r="A6" s="15" t="s">
        <v>34</v>
      </c>
      <c r="B6" s="16">
        <f>COUNTIF(Row_Data!I:I,"CSS")</f>
        <v>8</v>
      </c>
      <c r="C6" s="16">
        <f>SUMIF(Row_Data!I:I,"CSS",Row_Data!J:J)</f>
        <v>28500</v>
      </c>
      <c r="D6" s="16">
        <f t="shared" ref="D5:D10" si="0">C6/B6</f>
        <v>3562.5</v>
      </c>
    </row>
    <row r="7" spans="1:81" ht="30" customHeight="1" x14ac:dyDescent="0.25">
      <c r="A7" s="15" t="s">
        <v>84</v>
      </c>
      <c r="B7" s="16">
        <f>COUNTIF(Row_Data!I:I,"Microsoft Office")</f>
        <v>7</v>
      </c>
      <c r="C7" s="16">
        <f>SUMIF(Row_Data!I:I,"Microsoft Office",Row_Data!J:J)</f>
        <v>16000</v>
      </c>
      <c r="D7" s="16">
        <f t="shared" si="0"/>
        <v>2285.7142857142858</v>
      </c>
    </row>
    <row r="8" spans="1:81" ht="29.45" customHeight="1" x14ac:dyDescent="0.25">
      <c r="A8" s="15" t="s">
        <v>85</v>
      </c>
      <c r="B8" s="16">
        <f>COUNTIF(Row_Data!I:I,"Git &amp; Github")</f>
        <v>7</v>
      </c>
      <c r="C8" s="16">
        <f>SUMIF(Row_Data!I:I,"Linkedln", Row_Data!J:J)</f>
        <v>4000</v>
      </c>
      <c r="D8" s="16">
        <f t="shared" si="0"/>
        <v>571.42857142857144</v>
      </c>
    </row>
    <row r="9" spans="1:81" ht="29.45" customHeight="1" x14ac:dyDescent="0.25">
      <c r="A9" s="15" t="s">
        <v>86</v>
      </c>
      <c r="B9" s="16">
        <f>COUNTIF(Row_Data!I:I,"Linkedln")</f>
        <v>4</v>
      </c>
      <c r="C9" s="16">
        <f>SUMIF(Row_Data!I:I,"Linkedln",Row_Data!J:J)</f>
        <v>4000</v>
      </c>
      <c r="D9" s="16">
        <f t="shared" si="0"/>
        <v>1000</v>
      </c>
    </row>
    <row r="10" spans="1:81" ht="29.45" customHeight="1" x14ac:dyDescent="0.25">
      <c r="A10" s="15" t="s">
        <v>87</v>
      </c>
      <c r="B10" s="16">
        <f>COUNTIF(Row_Data!I:I,"Digital Marketing")</f>
        <v>6</v>
      </c>
      <c r="C10" s="16">
        <f>SUMIF(Row_Data!I:I,"Digital Marketing",Row_Data!J:J)</f>
        <v>19000</v>
      </c>
      <c r="D10" s="16">
        <f t="shared" si="0"/>
        <v>3166.6666666666665</v>
      </c>
    </row>
    <row r="11" spans="1:81" ht="15.75" x14ac:dyDescent="0.25">
      <c r="A11" s="21"/>
      <c r="B11" s="22"/>
      <c r="C11" s="22"/>
      <c r="D11" s="23"/>
    </row>
    <row r="12" spans="1:81" ht="30" customHeight="1" x14ac:dyDescent="0.25">
      <c r="A12" s="25" t="s">
        <v>92</v>
      </c>
      <c r="B12" s="26">
        <f>SUM(B5:B10)</f>
        <v>40</v>
      </c>
      <c r="C12" s="26">
        <f>SUM(C5:C10)</f>
        <v>99000</v>
      </c>
      <c r="D12" s="26">
        <f>AVERAGE(D5:D10)</f>
        <v>2337.301587301587</v>
      </c>
    </row>
    <row r="14" spans="1:81" x14ac:dyDescent="0.25">
      <c r="C14" s="17"/>
    </row>
    <row r="15" spans="1:81" x14ac:dyDescent="0.25">
      <c r="B15" s="2"/>
    </row>
    <row r="16" spans="1:81" x14ac:dyDescent="0.25">
      <c r="B16" s="2"/>
    </row>
    <row r="17" spans="1:12" x14ac:dyDescent="0.25">
      <c r="A17" s="3"/>
      <c r="B17" s="2"/>
    </row>
    <row r="18" spans="1:12" x14ac:dyDescent="0.25">
      <c r="A18" s="3"/>
      <c r="B18" s="2"/>
    </row>
    <row r="19" spans="1:12" x14ac:dyDescent="0.25">
      <c r="A19" s="3"/>
      <c r="B19" s="2"/>
    </row>
    <row r="22" spans="1:12" x14ac:dyDescent="0.25">
      <c r="A22" s="3"/>
      <c r="B22" s="3"/>
    </row>
    <row r="23" spans="1:12" x14ac:dyDescent="0.25">
      <c r="L23">
        <f ca="1">G23:L35</f>
        <v>0</v>
      </c>
    </row>
  </sheetData>
  <mergeCells count="3">
    <mergeCell ref="A1:D2"/>
    <mergeCell ref="A3:D3"/>
    <mergeCell ref="A11:D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3"/>
  <sheetViews>
    <sheetView tabSelected="1" topLeftCell="A21" zoomScale="45" zoomScaleNormal="60" workbookViewId="0">
      <selection activeCell="B22" sqref="B22"/>
    </sheetView>
  </sheetViews>
  <sheetFormatPr defaultRowHeight="15" x14ac:dyDescent="0.25"/>
  <sheetData>
    <row r="1" spans="1:29" ht="34.5" customHeight="1" x14ac:dyDescent="0.25">
      <c r="A1" s="4"/>
      <c r="B1" s="4"/>
      <c r="C1" s="4"/>
      <c r="D1" s="4"/>
      <c r="E1" s="4"/>
      <c r="F1" s="4"/>
      <c r="G1" s="4"/>
      <c r="H1" s="5"/>
      <c r="I1" s="4"/>
    </row>
    <row r="2" spans="1:29" ht="14.45" customHeight="1" x14ac:dyDescent="0.25">
      <c r="H2" s="10" t="s">
        <v>141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x14ac:dyDescent="0.25"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x14ac:dyDescent="0.25"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x14ac:dyDescent="0.25"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43" spans="17:17" x14ac:dyDescent="0.25">
      <c r="Q43" t="s">
        <v>139</v>
      </c>
    </row>
  </sheetData>
  <mergeCells count="1">
    <mergeCell ref="H2:A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Row_Data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PMLS</dc:creator>
  <cp:lastModifiedBy>Nabeeha shoaib</cp:lastModifiedBy>
  <dcterms:created xsi:type="dcterms:W3CDTF">2026-01-02T10:41:39Z</dcterms:created>
  <dcterms:modified xsi:type="dcterms:W3CDTF">2026-01-04T17:31:51Z</dcterms:modified>
</cp:coreProperties>
</file>